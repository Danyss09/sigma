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/>
  </bookViews>
  <sheets>
    <sheet sheetId="2" name="FORMATO PLANILLA INDIVIDUAL" state="visible" r:id="rId4"/>
    <sheet sheetId="1" name="Hoja1" state="visible" r:id="rId5"/>
  </sheets>
  <definedNames>
    <definedName name="_xlnm._FilterDatabase">'FORMATO PLANILLA INDIVIDUAL'!$J$12:$O$13</definedName>
    <definedName name="CIE">'[2]cie10'!$A$1:$A$14418</definedName>
    <definedName name="clinica">'[2]modificadores'!$A$6:$C$11</definedName>
    <definedName name="modificador">'[2]modificadores'!$A$2:$A$35</definedName>
    <definedName name="modificadoresvalor">'[2]modificadores'!$A$2:$B$35</definedName>
    <definedName name="obscontroltarifas">'[2]causasdebito'!$A$5:$A$14</definedName>
    <definedName name="obsmedico">'[2]causasdebito'!$A$16:$A$91</definedName>
    <definedName name="TNS">'[2]tns'!$A$1:$B$9168</definedName>
    <definedName name="TNSVALORES">'[2]tns'!$A$1:$C$9168</definedName>
    <definedName name="_xlnm.Print_Area" localSheetId="0">'FORMATO PLANILLA INDIVIDUAL'!$A1:$I68</definedName>
  </definedNames>
  <calcPr calcId="171027"/>
</workbook>
</file>

<file path=xl/sharedStrings.xml><?xml version="1.0" encoding="utf-8"?>
<sst xmlns="http://schemas.openxmlformats.org/spreadsheetml/2006/main" count="114" uniqueCount="52">
  <si>
    <t>CENTRO CLINICO QUIRÚRGICO AMBULATORIO HOSPITAL DEL DÍA CHIMBACALLE</t>
  </si>
  <si>
    <t>Planilla de Cargos Individual</t>
  </si>
  <si>
    <t xml:space="preserve">Nro. Trámite </t>
  </si>
  <si>
    <t>2</t>
  </si>
  <si>
    <t>Tipo de Servicio:</t>
  </si>
  <si>
    <t>TRASPLANTE</t>
  </si>
  <si>
    <t>Mes y año de servicio:</t>
  </si>
  <si>
    <t>Monto Solicitado:</t>
  </si>
  <si>
    <t>CIE 10:</t>
  </si>
  <si>
    <t>No. Código de Válidación/ No. Carga</t>
  </si>
  <si>
    <t>No. Identificación</t>
  </si>
  <si>
    <t>Beneficiario:</t>
  </si>
  <si>
    <t>Detalle de servicios:</t>
  </si>
  <si>
    <t>desde:</t>
  </si>
  <si>
    <t>hasta:</t>
  </si>
  <si>
    <t>FECHA</t>
  </si>
  <si>
    <t>CODIGO TPSNS</t>
  </si>
  <si>
    <t>DESCRIPCIÓN</t>
  </si>
  <si>
    <t>CANTIDAD</t>
  </si>
  <si>
    <t>VALOR UNITARIO</t>
  </si>
  <si>
    <t>SUBTOTAL</t>
  </si>
  <si>
    <t>MODIFICADOR TPSNS CLASIFICADOR</t>
  </si>
  <si>
    <t>VALOR MODIFICADOR (%)</t>
  </si>
  <si>
    <t>TOTAL SOLICITADO</t>
  </si>
  <si>
    <t>2025-04-15</t>
  </si>
  <si>
    <t>3432620127040</t>
  </si>
  <si>
    <t>VENDA ADHESIVA ELASTICA, 6</t>
  </si>
  <si>
    <t>397164</t>
  </si>
  <si>
    <t>Ambulancia pago por Km recorrido ida y vuelta,  más de 20 km.</t>
  </si>
  <si>
    <t>3432620068050</t>
  </si>
  <si>
    <t>Guantes de Latex, Talla Peque??o</t>
  </si>
  <si>
    <t>397153</t>
  </si>
  <si>
    <t>Punto de arranque</t>
  </si>
  <si>
    <t>3432620076180</t>
  </si>
  <si>
    <t>JERINGA 5 ML, 21 G, 1 - 1 1/2</t>
  </si>
  <si>
    <t>GUANTES DE LATEX, TALLA PEQUEÑO</t>
  </si>
  <si>
    <t>3214001002</t>
  </si>
  <si>
    <t>DICLOFENACO LIQUIDO PARENTERAL 25 MG/ML CJ X AMP(S) X 3 ML</t>
  </si>
  <si>
    <t>2025-04-16</t>
  </si>
  <si>
    <t>CODIGO-INEXISTENTE-999</t>
  </si>
  <si>
    <t>CODIGO NO ENCONTRADO EN CATALOGO</t>
  </si>
  <si>
    <t>TOTAL</t>
  </si>
  <si>
    <t>TOTAL VALOR SOLICITADO</t>
  </si>
  <si>
    <t>Cero Dólares 08/100</t>
  </si>
  <si>
    <t>NOMBRE:</t>
  </si>
  <si>
    <t>VERONICA ELIZABETH CANTOS GAVILANES</t>
  </si>
  <si>
    <t>DOCUMENTO DE IDENTIDAD:</t>
  </si>
  <si>
    <t xml:space="preserve">CARGO: </t>
  </si>
  <si>
    <t>ANALISTA - FACTURACIÓN</t>
  </si>
  <si>
    <t>FIRMA Y SELLO</t>
  </si>
  <si>
    <t>JAIME MIGUEL CASTILLO CHANGUAN</t>
  </si>
  <si>
    <t>DIRECTOR ADMINISTRATIVO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</si>
</sst>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m/yyyy"/>
    <numFmt numFmtId="165" formatCode="&quot;$&quot;#,##0.00"/>
    <numFmt numFmtId="166" formatCode="0000000000"/>
    <numFmt numFmtId="167" formatCode="_ * #,##0.00_ ;_ * -#,##0.00_ ;_ * &quot;-&quot;??_ ;_ @_ "/>
  </numFmts>
  <fonts count="10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b/>
      <color theme="1"/>
      <family val="2"/>
      <scheme val="minor"/>
      <sz val="11"/>
      <name val="Aptos Narrow"/>
    </font>
    <font>
      <b/>
      <family val="2"/>
      <sz val="10"/>
      <name val="Arial"/>
    </font>
    <font>
      <color theme="1"/>
      <family val="2"/>
      <scheme val="minor"/>
      <sz val="10"/>
      <name val="Aptos Narrow"/>
    </font>
    <font>
      <color theme="1"/>
      <family val="2"/>
      <sz val="9"/>
      <name val="Arial"/>
    </font>
    <font>
      <family val="2"/>
      <sz val="10"/>
      <name val="Arial"/>
    </font>
    <font>
      <color theme="0"/>
      <family val="2"/>
      <sz val="10"/>
      <name val="Arial"/>
    </font>
    <font>
      <b/>
      <color theme="1"/>
      <family val="2"/>
      <sz val="10"/>
      <name val="Arial"/>
    </font>
    <font>
      <b/>
      <color theme="0"/>
      <family val="2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Protection="1">
      <protection locked="0"/>
    </xf>
    <xf numFmtId="0" fontId="2" fillId="0" borderId="1" xfId="0" applyFont="1" applyBorder="1" applyAlignment="1">
      <alignment horizontal="center" vertical="center"/>
    </xf>
    <xf numFmtId="49" fontId="3" fillId="0" borderId="2" xfId="0" applyNumberFormat="1" applyFont="1" applyBorder="1" applyAlignment="1" applyProtection="1">
      <alignment horizontal="center" vertical="center" wrapText="1"/>
      <protection locked="0"/>
    </xf>
    <xf numFmtId="49" fontId="3" fillId="0" borderId="3" xfId="0" applyNumberFormat="1" applyFont="1" applyBorder="1" applyAlignment="1" applyProtection="1">
      <alignment horizontal="center" vertical="center" wrapText="1"/>
      <protection locked="0"/>
    </xf>
    <xf numFmtId="49" fontId="3" fillId="0" borderId="4" xfId="0" applyNumberFormat="1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49" fontId="1" fillId="0" borderId="5" xfId="0" applyNumberFormat="1" applyFont="1" applyBorder="1" applyAlignment="1" applyProtection="1">
      <alignment horizontal="center" vertical="center" wrapText="1"/>
      <protection locked="0"/>
    </xf>
    <xf numFmtId="49" fontId="1" fillId="0" borderId="0" xfId="0" applyNumberFormat="1" applyFont="1" applyAlignment="1" applyProtection="1">
      <alignment horizontal="center" vertical="center" wrapText="1"/>
      <protection locked="0"/>
    </xf>
    <xf numFmtId="49" fontId="1" fillId="0" borderId="6" xfId="0" applyNumberFormat="1" applyFont="1" applyBorder="1" applyAlignment="1" applyProtection="1">
      <alignment horizontal="center" vertical="center" wrapText="1"/>
      <protection locked="0"/>
    </xf>
    <xf numFmtId="0" fontId="3" fillId="2" borderId="7" xfId="0" applyFont="1" applyFill="1" applyBorder="1" applyAlignment="1" applyProtection="1">
      <alignment vertical="top"/>
      <protection locked="0"/>
    </xf>
    <xf numFmtId="0" fontId="3" fillId="2" borderId="8" xfId="0" applyFont="1" applyFill="1" applyBorder="1" applyAlignment="1" applyProtection="1">
      <alignment horizontal="left" vertical="top"/>
      <protection locked="0"/>
    </xf>
    <xf numFmtId="0" fontId="3" fillId="2" borderId="8" xfId="0" applyFont="1" applyFill="1" applyBorder="1" applyAlignment="1" applyProtection="1">
      <alignment vertical="top"/>
      <protection locked="0"/>
    </xf>
    <xf numFmtId="0" fontId="3" fillId="2" borderId="9" xfId="0" applyFont="1" applyFill="1" applyBorder="1" applyAlignment="1" applyProtection="1">
      <alignment vertical="top"/>
      <protection locked="0"/>
    </xf>
    <xf numFmtId="0" fontId="3" fillId="2" borderId="5" xfId="0" applyFont="1" applyFill="1" applyBorder="1" applyAlignment="1" applyProtection="1">
      <alignment vertical="top"/>
      <protection locked="0"/>
    </xf>
    <xf numFmtId="0" fontId="1" fillId="2" borderId="0" xfId="0" applyFont="1" applyFill="1" applyProtection="1">
      <protection locked="0"/>
    </xf>
    <xf numFmtId="0" fontId="3" fillId="2" borderId="0" xfId="0" applyFont="1" applyFill="1" applyAlignment="1" applyProtection="1">
      <alignment vertical="top"/>
      <protection locked="0"/>
    </xf>
    <xf numFmtId="0" fontId="3" fillId="2" borderId="0" xfId="0" applyFont="1" applyFill="1" applyAlignment="1" applyProtection="1">
      <alignment horizontal="left" vertical="top"/>
      <protection locked="0"/>
    </xf>
    <xf numFmtId="164" fontId="3" fillId="2" borderId="0" xfId="0" applyNumberFormat="1" applyFont="1" applyFill="1" applyAlignment="1" applyProtection="1">
      <alignment horizontal="center" vertical="top"/>
      <protection locked="0"/>
    </xf>
    <xf numFmtId="0" fontId="3" fillId="2" borderId="0" xfId="0" applyFont="1" applyFill="1" applyAlignment="1" applyProtection="1">
      <alignment horizontal="center" vertical="top"/>
      <protection locked="0"/>
    </xf>
    <xf numFmtId="0" fontId="3" fillId="2" borderId="6" xfId="0" applyFont="1" applyFill="1" applyBorder="1" applyAlignment="1" applyProtection="1">
      <alignment vertical="top"/>
      <protection locked="0"/>
    </xf>
    <xf numFmtId="165" fontId="3" fillId="2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/>
    <xf numFmtId="0" fontId="3" fillId="2" borderId="5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 applyProtection="1">
      <alignment horizontal="left"/>
      <protection locked="0"/>
    </xf>
    <xf numFmtId="166" fontId="5" fillId="2" borderId="0" xfId="0" applyNumberFormat="1" applyFont="1" applyFill="1" applyAlignment="1" applyProtection="1">
      <alignment horizontal="left"/>
      <protection locked="0"/>
    </xf>
    <xf numFmtId="0" fontId="5" fillId="2" borderId="0" xfId="0" applyFont="1" applyFill="1" applyProtection="1">
      <protection locked="0"/>
    </xf>
    <xf numFmtId="0" fontId="3" fillId="2" borderId="10" xfId="0" applyFont="1" applyFill="1" applyBorder="1" applyAlignment="1" applyProtection="1">
      <alignment vertical="top"/>
      <protection locked="0"/>
    </xf>
    <xf numFmtId="0" fontId="3" fillId="2" borderId="11" xfId="0" applyFont="1" applyFill="1" applyBorder="1" applyAlignment="1" applyProtection="1">
      <alignment vertical="top"/>
      <protection locked="0"/>
    </xf>
    <xf numFmtId="14" fontId="6" fillId="2" borderId="11" xfId="0" applyNumberFormat="1" applyFont="1" applyFill="1" applyBorder="1" applyAlignment="1" applyProtection="1">
      <alignment horizontal="left" vertical="top"/>
      <protection locked="0"/>
    </xf>
    <xf numFmtId="0" fontId="3" fillId="2" borderId="12" xfId="0" applyFont="1" applyFill="1" applyBorder="1" applyAlignment="1" applyProtection="1">
      <alignment vertical="top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5" xfId="0" applyFont="1" applyBorder="1" applyAlignment="1" applyProtection="1">
      <alignment horizontal="center" vertical="center" wrapText="1"/>
      <protection locked="0"/>
    </xf>
    <xf numFmtId="14" fontId="3" fillId="0" borderId="13" xfId="0" applyNumberFormat="1" applyFont="1" applyBorder="1" applyAlignment="1" applyProtection="1">
      <alignment horizontal="center" vertical="center" wrapText="1"/>
      <protection locked="0"/>
    </xf>
    <xf numFmtId="1" fontId="3" fillId="0" borderId="13" xfId="0" applyNumberFormat="1" applyFont="1" applyBorder="1" applyAlignment="1" applyProtection="1">
      <alignment horizontal="center" vertical="center" wrapText="1"/>
      <protection locked="0"/>
    </xf>
    <xf numFmtId="10" fontId="3" fillId="0" borderId="14" xfId="0" applyNumberFormat="1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6" xfId="0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 applyProtection="1">
      <alignment horizontal="center" vertical="center"/>
      <protection locked="0"/>
    </xf>
    <xf numFmtId="0" fontId="3" fillId="0" borderId="18" xfId="0" applyFont="1" applyBorder="1" applyAlignment="1" applyProtection="1">
      <alignment horizontal="center" vertical="center"/>
      <protection locked="0"/>
    </xf>
    <xf numFmtId="167" fontId="3" fillId="0" borderId="19" xfId="0" applyNumberFormat="1" applyFont="1" applyBorder="1" applyAlignment="1" applyProtection="1">
      <alignment horizontal="center" vertical="center"/>
      <protection locked="0"/>
    </xf>
    <xf numFmtId="0" fontId="7" fillId="2" borderId="20" xfId="0" applyFont="1" applyFill="1" applyBorder="1" applyProtection="1">
      <protection locked="0"/>
    </xf>
    <xf numFmtId="0" fontId="7" fillId="2" borderId="8" xfId="0" applyFont="1" applyFill="1" applyBorder="1" applyProtection="1">
      <protection locked="0"/>
    </xf>
    <xf numFmtId="0" fontId="7" fillId="2" borderId="21" xfId="0" applyFont="1" applyFill="1" applyBorder="1" applyProtection="1">
      <protection locked="0"/>
    </xf>
    <xf numFmtId="0" fontId="7" fillId="2" borderId="22" xfId="0" applyFont="1" applyFill="1" applyBorder="1" applyProtection="1">
      <protection locked="0"/>
    </xf>
    <xf numFmtId="0" fontId="7" fillId="2" borderId="0" xfId="0" applyFont="1" applyFill="1" applyProtection="1">
      <protection locked="0"/>
    </xf>
    <xf numFmtId="0" fontId="7" fillId="2" borderId="23" xfId="0" applyFont="1" applyFill="1" applyBorder="1" applyProtection="1">
      <protection locked="0"/>
    </xf>
    <xf numFmtId="0" fontId="8" fillId="2" borderId="11" xfId="0" applyFont="1" applyFill="1" applyBorder="1" applyAlignment="1" applyProtection="1">
      <alignment horizontal="left" vertical="center"/>
      <protection locked="0"/>
    </xf>
    <xf numFmtId="0" fontId="1" fillId="2" borderId="11" xfId="0" applyFont="1" applyFill="1" applyBorder="1" applyAlignment="1" applyProtection="1">
      <alignment horizontal="left" vertical="center"/>
      <protection locked="0"/>
    </xf>
    <xf numFmtId="0" fontId="1" fillId="2" borderId="0" xfId="0" applyFont="1" applyFill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horizontal="left" vertical="center"/>
      <protection locked="0"/>
    </xf>
    <xf numFmtId="0" fontId="9" fillId="2" borderId="23" xfId="0" applyFont="1" applyFill="1" applyBorder="1" applyAlignment="1" applyProtection="1">
      <alignment horizontal="left" vertical="center"/>
      <protection locked="0"/>
    </xf>
    <xf numFmtId="0" fontId="8" fillId="2" borderId="17" xfId="0" applyFont="1" applyFill="1" applyBorder="1" applyAlignment="1" applyProtection="1">
      <alignment horizontal="left" vertical="center" wrapText="1"/>
      <protection locked="0"/>
    </xf>
    <xf numFmtId="166" fontId="1" fillId="2" borderId="17" xfId="0" applyNumberFormat="1" applyFont="1" applyFill="1" applyBorder="1" applyAlignment="1" applyProtection="1">
      <alignment horizontal="left" vertical="center"/>
      <protection locked="0"/>
    </xf>
    <xf numFmtId="0" fontId="8" fillId="2" borderId="17" xfId="0" applyFont="1" applyFill="1" applyBorder="1" applyAlignment="1" applyProtection="1">
      <alignment horizontal="left" vertical="center"/>
      <protection locked="0"/>
    </xf>
    <xf numFmtId="0" fontId="1" fillId="2" borderId="17" xfId="0" applyFont="1" applyFill="1" applyBorder="1" applyAlignment="1" applyProtection="1">
      <alignment horizontal="left" vertical="center"/>
      <protection locked="0"/>
    </xf>
    <xf numFmtId="0" fontId="8" fillId="2" borderId="0" xfId="0" applyFont="1" applyFill="1" applyAlignment="1" applyProtection="1">
      <alignment horizontal="left" vertical="center"/>
      <protection locked="0"/>
    </xf>
    <xf numFmtId="0" fontId="9" fillId="2" borderId="11" xfId="0" applyFont="1" applyFill="1" applyBorder="1" applyAlignment="1" applyProtection="1">
      <alignment horizontal="left" vertical="center"/>
      <protection locked="0"/>
    </xf>
    <xf numFmtId="0" fontId="7" fillId="0" borderId="23" xfId="0" applyFont="1" applyBorder="1" applyProtection="1">
      <protection locked="0"/>
    </xf>
    <xf numFmtId="0" fontId="9" fillId="2" borderId="24" xfId="0" applyFont="1" applyFill="1" applyBorder="1" applyAlignment="1" applyProtection="1">
      <alignment horizontal="left" vertical="center"/>
      <protection locked="0"/>
    </xf>
    <xf numFmtId="0" fontId="9" fillId="2" borderId="25" xfId="0" applyFont="1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/>
  </sheetViews>
  <sheetFormatPr defaultRowHeight="15" outlineLevelRow="0" outlineLevelCol="0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8"/>
  <sheetViews>
    <sheetView workbookViewId="0" showGridLines="0" zoomScale="70" zoomScaleNormal="70">
      <selection activeCell="G15" sqref="G15"/>
    </sheetView>
  </sheetViews>
  <sheetFormatPr defaultRowHeight="12.75" outlineLevelRow="0" outlineLevelCol="0" x14ac:dyDescent="0.2" defaultColWidth="11.5703125" customHeight="1"/>
  <cols>
    <col min="1" max="1" width="21.140625" style="1" customWidth="1"/>
    <col min="2" max="2" width="19.140625" style="1" customWidth="1"/>
    <col min="3" max="3" width="34.85546875" style="1" customWidth="1"/>
    <col min="4" max="4" width="12" style="1" customWidth="1"/>
    <col min="5" max="5" width="12.5703125" style="1" customWidth="1"/>
    <col min="6" max="6" width="11.7109375" style="1" customWidth="1"/>
    <col min="7" max="7" width="19.28515625" style="1" customWidth="1"/>
    <col min="8" max="8" width="14" style="1" customWidth="1"/>
    <col min="9" max="9" width="13.7109375" style="1" customWidth="1"/>
    <col min="10" max="16384" width="11.5703125" style="1" customWidth="1"/>
  </cols>
  <sheetData>
    <row r="1" ht="15.75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2"/>
    </row>
    <row r="2" ht="15" customHeight="1" spans="1:9" x14ac:dyDescent="0.25">
      <c r="A2" s="3"/>
      <c r="B2" s="4"/>
      <c r="C2" s="4"/>
      <c r="D2" s="4"/>
      <c r="E2" s="4"/>
      <c r="F2" s="4"/>
      <c r="G2" s="4"/>
      <c r="H2" s="4"/>
      <c r="I2" s="5"/>
    </row>
    <row r="3" ht="12.75" customHeight="1" spans="1:9" x14ac:dyDescent="0.25">
      <c r="A3" s="6" t="s">
        <v>1</v>
      </c>
      <c r="B3" s="7"/>
      <c r="C3" s="7"/>
      <c r="D3" s="7"/>
      <c r="E3" s="7"/>
      <c r="F3" s="7"/>
      <c r="G3" s="7"/>
      <c r="H3" s="7"/>
      <c r="I3" s="8"/>
    </row>
    <row r="4" spans="1:9" x14ac:dyDescent="0.25">
      <c r="A4" s="9"/>
      <c r="B4" s="10"/>
      <c r="C4" s="10"/>
      <c r="D4" s="10"/>
      <c r="E4" s="10"/>
      <c r="F4" s="10"/>
      <c r="G4" s="10"/>
      <c r="H4" s="10"/>
      <c r="I4" s="11"/>
    </row>
    <row r="5" spans="1:9" x14ac:dyDescent="0.25">
      <c r="A5" s="12" t="s">
        <v>2</v>
      </c>
      <c r="B5" s="13" t="s">
        <v>3</v>
      </c>
      <c r="C5" s="14"/>
      <c r="D5" s="14"/>
      <c r="E5" s="14"/>
      <c r="F5" s="14"/>
      <c r="G5" s="14"/>
      <c r="H5" s="14"/>
      <c r="I5" s="15"/>
    </row>
    <row r="6" spans="1:9" x14ac:dyDescent="0.25">
      <c r="A6" s="16" t="s">
        <v>4</v>
      </c>
      <c r="B6" s="17" t="s">
        <v>5</v>
      </c>
      <c r="C6" s="18"/>
      <c r="D6" s="19" t="s">
        <v>6</v>
      </c>
      <c r="E6" s="19"/>
      <c r="F6" s="19"/>
      <c r="G6" s="20">
        <f>[1]MATRIZ!K4</f>
        <v>45762</v>
      </c>
      <c r="H6" s="21"/>
      <c r="I6" s="22"/>
    </row>
    <row r="7" ht="13.5" customHeight="1" spans="1:9" x14ac:dyDescent="0.25">
      <c r="A7" s="16" t="s">
        <v>7</v>
      </c>
      <c r="B7" s="18"/>
      <c r="C7" s="23">
        <f>+I54</f>
        <v>0.08</v>
      </c>
      <c r="D7" s="18" t="s">
        <v>8</v>
      </c>
      <c r="E7" s="24" t="str">
        <f>VLOOKUP(B5,[1]MATRIZ!A:G,5,0)</f>
        <v>S720</v>
      </c>
      <c r="F7" s="17"/>
      <c r="G7" s="18"/>
      <c r="H7" s="18"/>
      <c r="I7" s="22"/>
    </row>
    <row r="8" spans="1:9" x14ac:dyDescent="0.25">
      <c r="A8" s="25" t="s">
        <v>9</v>
      </c>
      <c r="B8" s="19"/>
      <c r="C8" s="18"/>
      <c r="D8" s="18"/>
      <c r="E8" s="18"/>
      <c r="F8" s="18"/>
      <c r="G8" s="18"/>
      <c r="H8" s="18"/>
      <c r="I8" s="22"/>
    </row>
    <row r="9" spans="1:9" x14ac:dyDescent="0.25">
      <c r="A9" s="16" t="s">
        <v>10</v>
      </c>
      <c r="B9" s="26"/>
      <c r="C9" s="27">
        <f>VLOOKUP(B5,[1]MATRIZ!A:G,4,0)</f>
        <v>1701141028</v>
      </c>
      <c r="D9" s="17"/>
      <c r="E9" s="18"/>
      <c r="F9" s="18"/>
      <c r="G9" s="18"/>
      <c r="H9" s="18"/>
      <c r="I9" s="22"/>
    </row>
    <row r="10" spans="1:9" x14ac:dyDescent="0.25">
      <c r="A10" s="16" t="s">
        <v>11</v>
      </c>
      <c r="B10" s="17"/>
      <c r="C10" s="28" t="str">
        <f>VLOOKUP(B5,[1]MATRIZ!A:G,2,0)</f>
        <v>CHILIG CHANGOLUISA MARIA ROSA</v>
      </c>
      <c r="D10" s="18"/>
      <c r="E10" s="18"/>
      <c r="F10" s="18"/>
      <c r="G10" s="18"/>
      <c r="H10" s="18"/>
      <c r="I10" s="22"/>
    </row>
    <row r="11" spans="1:9" x14ac:dyDescent="0.25">
      <c r="A11" s="29" t="s">
        <v>12</v>
      </c>
      <c r="B11" s="30" t="s">
        <v>13</v>
      </c>
      <c r="C11" s="31">
        <f>VLOOKUP(B5,[1]MATRIZ!A:G,6,0)</f>
        <v>45762</v>
      </c>
      <c r="D11" s="30" t="s">
        <v>14</v>
      </c>
      <c r="E11" s="31">
        <f>C11</f>
        <v>45762</v>
      </c>
      <c r="F11" s="30"/>
      <c r="G11" s="30"/>
      <c r="H11" s="30"/>
      <c r="I11" s="32"/>
    </row>
    <row r="12" ht="38.25" customHeight="1" spans="1:9" x14ac:dyDescent="0.25">
      <c r="A12" s="33" t="s">
        <v>15</v>
      </c>
      <c r="B12" s="34" t="s">
        <v>16</v>
      </c>
      <c r="C12" s="34" t="s">
        <v>17</v>
      </c>
      <c r="D12" s="34" t="s">
        <v>18</v>
      </c>
      <c r="E12" s="34" t="s">
        <v>19</v>
      </c>
      <c r="F12" s="34" t="s">
        <v>20</v>
      </c>
      <c r="G12" s="34" t="s">
        <v>21</v>
      </c>
      <c r="H12" s="34" t="s">
        <v>22</v>
      </c>
      <c r="I12" s="35" t="s">
        <v>23</v>
      </c>
    </row>
    <row r="13" spans="1:9" x14ac:dyDescent="0.25">
      <c r="A13" s="36">
        <v>1</v>
      </c>
      <c r="B13" s="36" t="s">
        <v>24</v>
      </c>
      <c r="C13" s="36" t="s">
        <v>25</v>
      </c>
      <c r="D13" s="36" t="s">
        <v>26</v>
      </c>
      <c r="E13" s="36">
        <v>1</v>
      </c>
      <c r="F13" s="36">
        <v>1.74</v>
      </c>
      <c r="G13" s="36">
        <v>1.74</v>
      </c>
      <c r="H13" s="36">
        <v>1</v>
      </c>
      <c r="I13" s="36">
        <v>1.74</v>
      </c>
    </row>
    <row r="14" ht="37.5" customHeight="1" spans="1:9" x14ac:dyDescent="0.25">
      <c r="A14" s="36">
        <v>2</v>
      </c>
      <c r="B14" s="36" t="s">
        <v>24</v>
      </c>
      <c r="C14" s="36" t="s">
        <v>27</v>
      </c>
      <c r="D14" s="36" t="s">
        <v>28</v>
      </c>
      <c r="E14" s="36">
        <v>3</v>
      </c>
      <c r="F14" s="36">
        <v>0</v>
      </c>
      <c r="G14" s="36">
        <v>0</v>
      </c>
      <c r="H14" s="36">
        <v>1</v>
      </c>
      <c r="I14" s="36">
        <v>0</v>
      </c>
    </row>
    <row r="15" ht="39" customHeight="1" spans="1:9" x14ac:dyDescent="0.25">
      <c r="A15" s="36">
        <v>3</v>
      </c>
      <c r="B15" s="36" t="s">
        <v>24</v>
      </c>
      <c r="C15" s="36" t="s">
        <v>27</v>
      </c>
      <c r="D15" s="36" t="s">
        <v>28</v>
      </c>
      <c r="E15" s="36">
        <v>3</v>
      </c>
      <c r="F15" s="36">
        <v>0</v>
      </c>
      <c r="G15" s="36">
        <v>0</v>
      </c>
      <c r="H15" s="36">
        <v>1</v>
      </c>
      <c r="I15" s="36">
        <v>0</v>
      </c>
    </row>
    <row r="16" spans="1:9" x14ac:dyDescent="0.25">
      <c r="A16" s="36">
        <v>4</v>
      </c>
      <c r="B16" s="36" t="s">
        <v>24</v>
      </c>
      <c r="C16" s="36" t="s">
        <v>27</v>
      </c>
      <c r="D16" s="36" t="s">
        <v>28</v>
      </c>
      <c r="E16" s="36">
        <v>3</v>
      </c>
      <c r="F16" s="36">
        <v>1.34</v>
      </c>
      <c r="G16" s="36">
        <v>4.02</v>
      </c>
      <c r="H16" s="36">
        <v>1</v>
      </c>
      <c r="I16" s="36">
        <v>4.06</v>
      </c>
    </row>
    <row r="17" spans="1:9" x14ac:dyDescent="0.25">
      <c r="A17" s="36">
        <v>5</v>
      </c>
      <c r="B17" s="36" t="s">
        <v>24</v>
      </c>
      <c r="C17" s="36" t="s">
        <v>29</v>
      </c>
      <c r="D17" s="36" t="s">
        <v>30</v>
      </c>
      <c r="E17" s="36">
        <v>4</v>
      </c>
      <c r="F17" s="36">
        <v>0.07</v>
      </c>
      <c r="G17" s="36">
        <v>0.28</v>
      </c>
      <c r="H17" s="36">
        <v>100</v>
      </c>
      <c r="I17" s="36">
        <v>0.28</v>
      </c>
    </row>
    <row r="18" spans="1:9" x14ac:dyDescent="0.25">
      <c r="A18" s="36">
        <v>6</v>
      </c>
      <c r="B18" s="36" t="s">
        <v>24</v>
      </c>
      <c r="C18" s="36" t="s">
        <v>31</v>
      </c>
      <c r="D18" s="36" t="s">
        <v>32</v>
      </c>
      <c r="E18" s="36">
        <v>1</v>
      </c>
      <c r="F18" s="36">
        <v>0</v>
      </c>
      <c r="G18" s="36">
        <v>0</v>
      </c>
      <c r="H18" s="36">
        <v>1</v>
      </c>
      <c r="I18" s="36">
        <v>0</v>
      </c>
    </row>
    <row r="19" spans="1:9" x14ac:dyDescent="0.25">
      <c r="A19" s="36">
        <v>7</v>
      </c>
      <c r="B19" s="36" t="s">
        <v>24</v>
      </c>
      <c r="C19" s="36" t="s">
        <v>33</v>
      </c>
      <c r="D19" s="36" t="s">
        <v>34</v>
      </c>
      <c r="E19" s="36">
        <v>1</v>
      </c>
      <c r="F19" s="36">
        <v>0</v>
      </c>
      <c r="G19" s="36">
        <v>0</v>
      </c>
      <c r="H19" s="36">
        <v>1</v>
      </c>
      <c r="I19" s="36">
        <v>0</v>
      </c>
    </row>
    <row r="20" spans="1:9" x14ac:dyDescent="0.25">
      <c r="A20" s="36">
        <v>8</v>
      </c>
      <c r="B20" s="36" t="s">
        <v>24</v>
      </c>
      <c r="C20" s="36" t="s">
        <v>29</v>
      </c>
      <c r="D20" s="36" t="s">
        <v>35</v>
      </c>
      <c r="E20" s="36">
        <v>4</v>
      </c>
      <c r="F20" s="36">
        <v>0</v>
      </c>
      <c r="G20" s="36">
        <v>0</v>
      </c>
      <c r="H20" s="36">
        <v>1</v>
      </c>
      <c r="I20" s="36">
        <v>0</v>
      </c>
    </row>
    <row r="21" spans="1:9" x14ac:dyDescent="0.25">
      <c r="A21" s="36">
        <v>9</v>
      </c>
      <c r="B21" s="36" t="s">
        <v>24</v>
      </c>
      <c r="C21" s="36" t="s">
        <v>25</v>
      </c>
      <c r="D21" s="36" t="s">
        <v>26</v>
      </c>
      <c r="E21" s="36">
        <v>1</v>
      </c>
      <c r="F21" s="36">
        <v>0</v>
      </c>
      <c r="G21" s="36">
        <v>0</v>
      </c>
      <c r="H21" s="36">
        <v>1</v>
      </c>
      <c r="I21" s="36">
        <v>0</v>
      </c>
    </row>
    <row r="22" spans="1:9" x14ac:dyDescent="0.25">
      <c r="A22" s="36">
        <v>10</v>
      </c>
      <c r="B22" s="36" t="s">
        <v>24</v>
      </c>
      <c r="C22" s="36" t="s">
        <v>31</v>
      </c>
      <c r="D22" s="36" t="s">
        <v>32</v>
      </c>
      <c r="E22" s="36">
        <v>1</v>
      </c>
      <c r="F22" s="36">
        <v>0</v>
      </c>
      <c r="G22" s="36">
        <v>0</v>
      </c>
      <c r="H22" s="36">
        <v>1</v>
      </c>
      <c r="I22" s="36">
        <v>0</v>
      </c>
    </row>
    <row r="23" spans="1:9" x14ac:dyDescent="0.25">
      <c r="A23" s="36">
        <v>11</v>
      </c>
      <c r="B23" s="36" t="s">
        <v>24</v>
      </c>
      <c r="C23" s="36" t="s">
        <v>36</v>
      </c>
      <c r="D23" s="36" t="s">
        <v>37</v>
      </c>
      <c r="E23" s="36">
        <v>1</v>
      </c>
      <c r="F23" s="36">
        <v>0</v>
      </c>
      <c r="G23" s="36">
        <v>0</v>
      </c>
      <c r="H23" s="36">
        <v>1</v>
      </c>
      <c r="I23" s="36">
        <v>0</v>
      </c>
    </row>
    <row r="24" spans="1:9" x14ac:dyDescent="0.25">
      <c r="A24" s="36">
        <v>12</v>
      </c>
      <c r="B24" s="36" t="s">
        <v>24</v>
      </c>
      <c r="C24" s="36" t="s">
        <v>33</v>
      </c>
      <c r="D24" s="36" t="s">
        <v>34</v>
      </c>
      <c r="E24" s="36">
        <v>1</v>
      </c>
      <c r="F24" s="36">
        <v>0</v>
      </c>
      <c r="G24" s="36">
        <v>0</v>
      </c>
      <c r="H24" s="36">
        <v>1</v>
      </c>
      <c r="I24" s="36">
        <v>0</v>
      </c>
    </row>
    <row r="25" spans="1:9" x14ac:dyDescent="0.25">
      <c r="A25" s="36">
        <v>13</v>
      </c>
      <c r="B25" s="36" t="s">
        <v>24</v>
      </c>
      <c r="C25" s="36" t="s">
        <v>29</v>
      </c>
      <c r="D25" s="36" t="s">
        <v>35</v>
      </c>
      <c r="E25" s="36">
        <v>4</v>
      </c>
      <c r="F25" s="36">
        <v>0</v>
      </c>
      <c r="G25" s="36">
        <v>0</v>
      </c>
      <c r="H25" s="36">
        <v>1</v>
      </c>
      <c r="I25" s="36">
        <v>0</v>
      </c>
    </row>
    <row r="26" spans="1:9" x14ac:dyDescent="0.25">
      <c r="A26" s="36">
        <v>14</v>
      </c>
      <c r="B26" s="36" t="s">
        <v>24</v>
      </c>
      <c r="C26" s="36" t="s">
        <v>25</v>
      </c>
      <c r="D26" s="36" t="s">
        <v>26</v>
      </c>
      <c r="E26" s="36">
        <v>1</v>
      </c>
      <c r="F26" s="36">
        <v>0</v>
      </c>
      <c r="G26" s="36">
        <v>0</v>
      </c>
      <c r="H26" s="36">
        <v>1</v>
      </c>
      <c r="I26" s="36">
        <v>0</v>
      </c>
    </row>
    <row r="27" spans="1:9" x14ac:dyDescent="0.25">
      <c r="A27" s="36">
        <v>15</v>
      </c>
      <c r="B27" s="36" t="s">
        <v>24</v>
      </c>
      <c r="C27" s="36" t="s">
        <v>31</v>
      </c>
      <c r="D27" s="36" t="s">
        <v>32</v>
      </c>
      <c r="E27" s="36">
        <v>1</v>
      </c>
      <c r="F27" s="36">
        <v>20.57</v>
      </c>
      <c r="G27" s="36">
        <v>20.57</v>
      </c>
      <c r="H27" s="36">
        <v>1</v>
      </c>
      <c r="I27" s="36">
        <v>20.78</v>
      </c>
    </row>
    <row r="28" spans="1:9" x14ac:dyDescent="0.25">
      <c r="A28" s="36">
        <v>16</v>
      </c>
      <c r="B28" s="36" t="s">
        <v>24</v>
      </c>
      <c r="C28" s="36" t="s">
        <v>36</v>
      </c>
      <c r="D28" s="36" t="s">
        <v>37</v>
      </c>
      <c r="E28" s="36">
        <v>1</v>
      </c>
      <c r="F28" s="36">
        <v>0.05</v>
      </c>
      <c r="G28" s="36">
        <v>0.05</v>
      </c>
      <c r="H28" s="36">
        <v>1</v>
      </c>
      <c r="I28" s="36">
        <v>0.05</v>
      </c>
    </row>
    <row r="29" spans="1:9" x14ac:dyDescent="0.25">
      <c r="A29" s="36">
        <v>17</v>
      </c>
      <c r="B29" s="36" t="s">
        <v>24</v>
      </c>
      <c r="C29" s="36" t="s">
        <v>33</v>
      </c>
      <c r="D29" s="36" t="s">
        <v>34</v>
      </c>
      <c r="E29" s="36">
        <v>1</v>
      </c>
      <c r="F29" s="36">
        <v>0.08</v>
      </c>
      <c r="G29" s="36">
        <v>0.08</v>
      </c>
      <c r="H29" s="36">
        <v>1</v>
      </c>
      <c r="I29" s="36">
        <v>0.08</v>
      </c>
    </row>
    <row r="30" spans="1:9" x14ac:dyDescent="0.25">
      <c r="A30" s="36">
        <v>18</v>
      </c>
      <c r="B30" s="36" t="s">
        <v>24</v>
      </c>
      <c r="C30" s="36" t="s">
        <v>29</v>
      </c>
      <c r="D30" s="36" t="s">
        <v>35</v>
      </c>
      <c r="E30" s="36">
        <v>4</v>
      </c>
      <c r="F30" s="36">
        <v>0.07</v>
      </c>
      <c r="G30" s="36">
        <v>0.28</v>
      </c>
      <c r="H30" s="36">
        <v>1</v>
      </c>
      <c r="I30" s="36">
        <v>0.28</v>
      </c>
    </row>
    <row r="31" spans="1:9" x14ac:dyDescent="0.25">
      <c r="A31" s="36">
        <v>19</v>
      </c>
      <c r="B31" s="36" t="s">
        <v>24</v>
      </c>
      <c r="C31" s="36" t="s">
        <v>25</v>
      </c>
      <c r="D31" s="36" t="s">
        <v>26</v>
      </c>
      <c r="E31" s="36">
        <v>1</v>
      </c>
      <c r="F31" s="36">
        <v>1.74</v>
      </c>
      <c r="G31" s="36">
        <v>1.74</v>
      </c>
      <c r="H31" s="36">
        <v>1</v>
      </c>
      <c r="I31" s="36">
        <v>1.74</v>
      </c>
    </row>
    <row r="32" spans="1:9" x14ac:dyDescent="0.25">
      <c r="A32" s="36">
        <v>20</v>
      </c>
      <c r="B32" s="36" t="s">
        <v>24</v>
      </c>
      <c r="C32" s="36" t="s">
        <v>36</v>
      </c>
      <c r="D32" s="36" t="s">
        <v>37</v>
      </c>
      <c r="E32" s="36">
        <v>1</v>
      </c>
      <c r="F32" s="36">
        <v>0</v>
      </c>
      <c r="G32" s="36">
        <v>0</v>
      </c>
      <c r="H32" s="36">
        <v>1</v>
      </c>
      <c r="I32" s="36">
        <v>0.13</v>
      </c>
    </row>
    <row r="33" spans="1:9" x14ac:dyDescent="0.25">
      <c r="A33" s="36">
        <v>21</v>
      </c>
      <c r="B33" s="36" t="s">
        <v>24</v>
      </c>
      <c r="C33" s="36" t="s">
        <v>31</v>
      </c>
      <c r="D33" s="36" t="s">
        <v>32</v>
      </c>
      <c r="E33" s="36">
        <v>1</v>
      </c>
      <c r="F33" s="36">
        <v>20.57</v>
      </c>
      <c r="G33" s="36">
        <v>20.57</v>
      </c>
      <c r="H33" s="36">
        <v>1</v>
      </c>
      <c r="I33" s="36">
        <v>20.78</v>
      </c>
    </row>
    <row r="34" spans="1:9" x14ac:dyDescent="0.25">
      <c r="A34" s="36">
        <v>22</v>
      </c>
      <c r="B34" s="36" t="s">
        <v>24</v>
      </c>
      <c r="C34" s="36" t="s">
        <v>36</v>
      </c>
      <c r="D34" s="36" t="s">
        <v>37</v>
      </c>
      <c r="E34" s="36">
        <v>1</v>
      </c>
      <c r="F34" s="36">
        <v>0.05</v>
      </c>
      <c r="G34" s="36">
        <v>0.05</v>
      </c>
      <c r="H34" s="36">
        <v>1</v>
      </c>
      <c r="I34" s="36">
        <v>0.05</v>
      </c>
    </row>
    <row r="35" spans="1:9" x14ac:dyDescent="0.25">
      <c r="A35" s="36">
        <v>23</v>
      </c>
      <c r="B35" s="36" t="s">
        <v>24</v>
      </c>
      <c r="C35" s="36" t="s">
        <v>33</v>
      </c>
      <c r="D35" s="36" t="s">
        <v>34</v>
      </c>
      <c r="E35" s="36">
        <v>1</v>
      </c>
      <c r="F35" s="36">
        <v>0.08</v>
      </c>
      <c r="G35" s="36">
        <v>0.08</v>
      </c>
      <c r="H35" s="36">
        <v>1</v>
      </c>
      <c r="I35" s="36">
        <v>0.08</v>
      </c>
    </row>
    <row r="36" spans="1:9" x14ac:dyDescent="0.25">
      <c r="A36" s="36">
        <v>24</v>
      </c>
      <c r="B36" s="36" t="s">
        <v>24</v>
      </c>
      <c r="C36" s="36" t="s">
        <v>29</v>
      </c>
      <c r="D36" s="36" t="s">
        <v>35</v>
      </c>
      <c r="E36" s="36">
        <v>4</v>
      </c>
      <c r="F36" s="36">
        <v>0.07</v>
      </c>
      <c r="G36" s="36">
        <v>0.28</v>
      </c>
      <c r="H36" s="36">
        <v>1</v>
      </c>
      <c r="I36" s="36">
        <v>0.28</v>
      </c>
    </row>
    <row r="37" spans="1:9" x14ac:dyDescent="0.25">
      <c r="A37" s="36">
        <v>25</v>
      </c>
      <c r="B37" s="36" t="s">
        <v>38</v>
      </c>
      <c r="C37" s="36" t="s">
        <v>39</v>
      </c>
      <c r="D37" s="36" t="s">
        <v>40</v>
      </c>
      <c r="E37" s="36">
        <v>1</v>
      </c>
      <c r="F37" s="36">
        <v>0.15</v>
      </c>
      <c r="G37" s="36">
        <v>0.15</v>
      </c>
      <c r="H37" s="36">
        <v>0</v>
      </c>
      <c r="I37" s="36">
        <v>1</v>
      </c>
    </row>
    <row r="38" spans="1:9" x14ac:dyDescent="0.25">
      <c r="A38" s="36"/>
      <c r="B38" s="36"/>
      <c r="C38" s="36"/>
      <c r="D38" s="36" t="s">
        <v>41</v>
      </c>
      <c r="E38" s="36"/>
      <c r="F38" s="36"/>
      <c r="G38" s="36"/>
      <c r="H38" s="36"/>
      <c r="I38" s="36">
        <v>51.33</v>
      </c>
    </row>
    <row r="39" spans="1:9" x14ac:dyDescent="0.25">
      <c r="A39" s="36"/>
      <c r="B39" s="36"/>
      <c r="C39" s="36"/>
      <c r="D39" s="36"/>
      <c r="E39" s="36"/>
      <c r="F39" s="36"/>
      <c r="G39" s="36"/>
      <c r="H39" s="36"/>
      <c r="I39" s="36"/>
    </row>
    <row r="40" spans="1:9" x14ac:dyDescent="0.25">
      <c r="A40" s="36"/>
      <c r="B40" s="36"/>
      <c r="C40" s="36"/>
      <c r="D40" s="36"/>
      <c r="E40" s="36"/>
      <c r="F40" s="36"/>
      <c r="G40" s="36"/>
      <c r="H40" s="36"/>
      <c r="I40" s="36"/>
    </row>
    <row r="41" spans="1:9" x14ac:dyDescent="0.25">
      <c r="A41" s="36"/>
      <c r="B41" s="36"/>
      <c r="C41" s="36"/>
      <c r="D41" s="36"/>
      <c r="E41" s="36"/>
      <c r="F41" s="36"/>
      <c r="G41" s="36"/>
      <c r="H41" s="36"/>
      <c r="I41" s="36"/>
    </row>
    <row r="42" spans="1:9" x14ac:dyDescent="0.25">
      <c r="A42" s="36"/>
      <c r="B42" s="36"/>
      <c r="C42" s="36"/>
      <c r="D42" s="36"/>
      <c r="E42" s="36"/>
      <c r="F42" s="36"/>
      <c r="G42" s="36"/>
      <c r="H42" s="36"/>
      <c r="I42" s="36"/>
    </row>
    <row r="43" spans="1:9" x14ac:dyDescent="0.25">
      <c r="A43" s="36"/>
      <c r="B43" s="36"/>
      <c r="C43" s="36"/>
      <c r="D43" s="36"/>
      <c r="E43" s="36"/>
      <c r="F43" s="36"/>
      <c r="G43" s="36"/>
      <c r="H43" s="36"/>
      <c r="I43" s="36"/>
    </row>
    <row r="44" spans="1:9" x14ac:dyDescent="0.25">
      <c r="A44" s="36"/>
      <c r="B44" s="36"/>
      <c r="C44" s="36"/>
      <c r="D44" s="36"/>
      <c r="E44" s="36"/>
      <c r="F44" s="36"/>
      <c r="G44" s="36"/>
      <c r="H44" s="36"/>
      <c r="I44" s="36"/>
    </row>
    <row r="45" spans="1:9" x14ac:dyDescent="0.25">
      <c r="A45" s="36"/>
      <c r="B45" s="36"/>
      <c r="C45" s="36"/>
      <c r="D45" s="36"/>
      <c r="E45" s="36"/>
      <c r="F45" s="36"/>
      <c r="G45" s="36"/>
      <c r="H45" s="36"/>
      <c r="I45" s="36"/>
    </row>
    <row r="46" spans="1:9" x14ac:dyDescent="0.25">
      <c r="A46" s="36"/>
      <c r="B46" s="36"/>
      <c r="C46" s="36"/>
      <c r="D46" s="36"/>
      <c r="E46" s="36"/>
      <c r="F46" s="36"/>
      <c r="G46" s="36"/>
      <c r="H46" s="36"/>
      <c r="I46" s="36"/>
    </row>
    <row r="47" spans="1:9" x14ac:dyDescent="0.25">
      <c r="A47" s="36"/>
      <c r="B47" s="36"/>
      <c r="C47" s="36"/>
      <c r="D47" s="36"/>
      <c r="E47" s="36"/>
      <c r="F47" s="36"/>
      <c r="G47" s="36"/>
      <c r="H47" s="36"/>
      <c r="I47" s="36"/>
    </row>
    <row r="48" spans="1:9" x14ac:dyDescent="0.25">
      <c r="A48" s="36"/>
      <c r="B48" s="36"/>
      <c r="C48" s="36"/>
      <c r="D48" s="36"/>
      <c r="E48" s="36"/>
      <c r="F48" s="36"/>
      <c r="G48" s="36"/>
      <c r="H48" s="36"/>
      <c r="I48" s="36"/>
    </row>
    <row r="49" spans="1:9" x14ac:dyDescent="0.25">
      <c r="A49" s="36"/>
      <c r="B49" s="36"/>
      <c r="C49" s="36"/>
      <c r="D49" s="36"/>
      <c r="E49" s="36"/>
      <c r="F49" s="36"/>
      <c r="G49" s="36"/>
      <c r="H49" s="36"/>
      <c r="I49" s="36"/>
    </row>
    <row r="50" spans="1:9" x14ac:dyDescent="0.25">
      <c r="A50" s="36"/>
      <c r="B50" s="36"/>
      <c r="C50" s="36"/>
      <c r="D50" s="36"/>
      <c r="E50" s="36"/>
      <c r="F50" s="36"/>
      <c r="G50" s="36"/>
      <c r="H50" s="36"/>
      <c r="I50" s="36"/>
    </row>
    <row r="51" spans="1:9" x14ac:dyDescent="0.25">
      <c r="A51" s="36"/>
      <c r="B51" s="36"/>
      <c r="C51" s="36"/>
      <c r="D51" s="36"/>
      <c r="E51" s="36"/>
      <c r="F51" s="36"/>
      <c r="G51" s="36"/>
      <c r="H51" s="36"/>
      <c r="I51" s="36"/>
    </row>
    <row r="52" spans="1:9" x14ac:dyDescent="0.25">
      <c r="A52" s="36"/>
      <c r="B52" s="36"/>
      <c r="C52" s="36"/>
      <c r="D52" s="36"/>
      <c r="E52" s="36"/>
      <c r="F52" s="36"/>
      <c r="G52" s="36"/>
      <c r="H52" s="36"/>
      <c r="I52" s="36"/>
    </row>
    <row r="53" spans="1:9" x14ac:dyDescent="0.25">
      <c r="A53" s="36">
        <f>IF(#REF!=0,"",#REF!)</f>
        <v>NaN</v>
      </c>
      <c r="B53" s="37" t="e">
        <f>IF(#REF!=0,"",#REF!)</f>
        <v>#REF!</v>
      </c>
      <c r="C53" s="33" t="e">
        <f>IF(#REF!=0,"",#REF!)</f>
        <v>#REF!</v>
      </c>
      <c r="D53" s="33" t="e">
        <f>IF(#REF!=0,"",#REF!)</f>
        <v>#REF!</v>
      </c>
      <c r="E53" s="33" t="e">
        <f>IF(#REF!=0,"",#REF!)</f>
        <v>#REF!</v>
      </c>
      <c r="F53" s="34" t="e">
        <f t="shared" ref="F53" si="0">IF(OR(NOT(ISNUMBER(D53)),D53=0),"",D53*E53)</f>
        <v>#REF!</v>
      </c>
      <c r="G53" s="34" t="e">
        <f>IF(#REF!=0," ",#REF!)</f>
        <v>#REF!</v>
      </c>
      <c r="H53" s="38" t="e">
        <f>IF(#REF!=0,"",#REF!)</f>
        <v>#REF!</v>
      </c>
      <c r="I53" s="35" t="e">
        <f t="shared" ref="I53" si="1">IF(F53=0," ",F53)</f>
        <v>#REF!</v>
      </c>
    </row>
    <row r="54" spans="1:9" x14ac:dyDescent="0.25">
      <c r="A54" s="39" t="s">
        <v>42</v>
      </c>
      <c r="B54" s="39"/>
      <c r="C54" s="40" t="s">
        <v>43</v>
      </c>
      <c r="D54" s="41"/>
      <c r="E54" s="41"/>
      <c r="F54" s="41"/>
      <c r="G54" s="41"/>
      <c r="H54" s="42"/>
      <c r="I54" s="43">
        <v>0.08</v>
      </c>
    </row>
    <row r="55" ht="90.75" customHeight="1" spans="1:9" x14ac:dyDescent="0.25">
      <c r="A55" s="44">
        <v>1</v>
      </c>
      <c r="B55" s="45">
        <v>1</v>
      </c>
      <c r="C55" s="45">
        <v>1</v>
      </c>
      <c r="D55" s="45">
        <v>1</v>
      </c>
      <c r="E55" s="45">
        <v>1</v>
      </c>
      <c r="F55" s="45">
        <v>1</v>
      </c>
      <c r="G55" s="45">
        <v>1</v>
      </c>
      <c r="H55" s="45">
        <v>1</v>
      </c>
      <c r="I55" s="46">
        <v>1</v>
      </c>
    </row>
    <row r="56" spans="1:9" x14ac:dyDescent="0.25">
      <c r="A56" s="47">
        <v>1</v>
      </c>
      <c r="B56" s="48">
        <v>1</v>
      </c>
      <c r="C56" s="48">
        <v>1</v>
      </c>
      <c r="D56" s="48">
        <v>1</v>
      </c>
      <c r="E56" s="48">
        <v>1</v>
      </c>
      <c r="F56" s="48">
        <v>1</v>
      </c>
      <c r="G56" s="48">
        <v>1</v>
      </c>
      <c r="H56" s="48">
        <v>1</v>
      </c>
      <c r="I56" s="49">
        <v>1</v>
      </c>
    </row>
    <row r="57" spans="1:9" x14ac:dyDescent="0.25">
      <c r="A57" s="47">
        <v>1</v>
      </c>
      <c r="B57" s="48">
        <v>1</v>
      </c>
      <c r="C57" s="48">
        <v>1</v>
      </c>
      <c r="D57" s="48">
        <v>1</v>
      </c>
      <c r="E57" s="48">
        <v>1</v>
      </c>
      <c r="F57" s="48">
        <v>1</v>
      </c>
      <c r="G57" s="48">
        <v>1</v>
      </c>
      <c r="H57" s="48">
        <v>1</v>
      </c>
      <c r="I57" s="49">
        <v>1</v>
      </c>
    </row>
    <row r="58" spans="1:9" x14ac:dyDescent="0.25">
      <c r="A58" s="47">
        <v>1</v>
      </c>
      <c r="B58" s="48">
        <v>1</v>
      </c>
      <c r="C58" s="48">
        <v>1</v>
      </c>
      <c r="D58" s="48">
        <v>1</v>
      </c>
      <c r="E58" s="48">
        <v>1</v>
      </c>
      <c r="F58" s="48">
        <v>1</v>
      </c>
      <c r="G58" s="48">
        <v>1</v>
      </c>
      <c r="H58" s="48">
        <v>1</v>
      </c>
      <c r="I58" s="49">
        <v>1</v>
      </c>
    </row>
    <row r="59" ht="85.5" customHeight="1" spans="1:9" x14ac:dyDescent="0.25">
      <c r="A59" s="47">
        <v>1</v>
      </c>
      <c r="B59" s="48">
        <v>1</v>
      </c>
      <c r="C59" s="48">
        <v>1</v>
      </c>
      <c r="D59" s="48">
        <v>1</v>
      </c>
      <c r="E59" s="48">
        <v>1</v>
      </c>
      <c r="F59" s="48">
        <v>1</v>
      </c>
      <c r="G59" s="48">
        <v>1</v>
      </c>
      <c r="H59" s="48">
        <v>1</v>
      </c>
      <c r="I59" s="49">
        <v>1</v>
      </c>
    </row>
    <row r="60" spans="1:9" x14ac:dyDescent="0.25">
      <c r="A60" s="47">
        <v>1</v>
      </c>
      <c r="B60" s="50" t="s">
        <v>44</v>
      </c>
      <c r="C60" s="51" t="s">
        <v>45</v>
      </c>
      <c r="D60" s="52"/>
      <c r="E60" s="53">
        <v>1</v>
      </c>
      <c r="F60" s="53">
        <v>1</v>
      </c>
      <c r="G60" s="53">
        <v>1</v>
      </c>
      <c r="H60" s="53">
        <v>1</v>
      </c>
      <c r="I60" s="54">
        <v>1</v>
      </c>
    </row>
    <row r="61" ht="25.5" customHeight="1" spans="1:9" x14ac:dyDescent="0.25">
      <c r="A61" s="47">
        <v>1</v>
      </c>
      <c r="B61" s="55" t="s">
        <v>46</v>
      </c>
      <c r="C61" s="56">
        <v>603665530</v>
      </c>
      <c r="D61" s="53">
        <v>1</v>
      </c>
      <c r="E61" s="53">
        <v>1</v>
      </c>
      <c r="F61" s="53">
        <v>1</v>
      </c>
      <c r="G61" s="53">
        <v>1</v>
      </c>
      <c r="H61" s="53">
        <v>1</v>
      </c>
      <c r="I61" s="54">
        <v>1</v>
      </c>
    </row>
    <row r="62" spans="1:9" x14ac:dyDescent="0.25">
      <c r="A62" s="47">
        <v>1</v>
      </c>
      <c r="B62" s="57" t="s">
        <v>47</v>
      </c>
      <c r="C62" s="58" t="s">
        <v>48</v>
      </c>
      <c r="D62" s="53">
        <v>1</v>
      </c>
      <c r="E62" s="53">
        <v>1</v>
      </c>
      <c r="F62" s="53">
        <v>1</v>
      </c>
      <c r="G62" s="59" t="s">
        <v>49</v>
      </c>
      <c r="H62" s="60">
        <v>1</v>
      </c>
      <c r="I62" s="61">
        <v>1</v>
      </c>
    </row>
    <row r="63" spans="1:9" x14ac:dyDescent="0.25">
      <c r="A63" s="47">
        <v>1</v>
      </c>
      <c r="B63" s="53">
        <v>1</v>
      </c>
      <c r="C63" s="53">
        <v>1</v>
      </c>
      <c r="D63" s="53">
        <v>1</v>
      </c>
      <c r="E63" s="53">
        <v>1</v>
      </c>
      <c r="F63" s="53">
        <v>1</v>
      </c>
      <c r="G63" s="53">
        <v>1</v>
      </c>
      <c r="H63" s="53">
        <v>1</v>
      </c>
      <c r="I63" s="61">
        <v>1</v>
      </c>
    </row>
    <row r="64" ht="72.75" customHeight="1" spans="1:9" x14ac:dyDescent="0.25">
      <c r="A64" s="47">
        <v>1</v>
      </c>
      <c r="B64" s="53">
        <v>1</v>
      </c>
      <c r="C64" s="53">
        <v>1</v>
      </c>
      <c r="D64" s="53">
        <v>1</v>
      </c>
      <c r="E64" s="53">
        <v>1</v>
      </c>
      <c r="F64" s="53">
        <v>1</v>
      </c>
      <c r="G64" s="53">
        <v>1</v>
      </c>
      <c r="H64" s="53">
        <v>1</v>
      </c>
      <c r="I64" s="54">
        <v>1</v>
      </c>
    </row>
    <row r="65" spans="1:9" x14ac:dyDescent="0.25">
      <c r="A65" s="47">
        <v>1</v>
      </c>
      <c r="B65" s="50" t="s">
        <v>44</v>
      </c>
      <c r="C65" s="51" t="s">
        <v>50</v>
      </c>
      <c r="D65" s="53">
        <v>1</v>
      </c>
      <c r="E65" s="53">
        <v>1</v>
      </c>
      <c r="F65" s="53">
        <v>1</v>
      </c>
      <c r="G65" s="53">
        <v>1</v>
      </c>
      <c r="H65" s="53">
        <v>1</v>
      </c>
      <c r="I65" s="54">
        <v>1</v>
      </c>
    </row>
    <row r="66" ht="25.5" customHeight="1" spans="1:9" x14ac:dyDescent="0.25">
      <c r="A66" s="47">
        <v>1</v>
      </c>
      <c r="B66" s="55" t="s">
        <v>46</v>
      </c>
      <c r="C66" s="56">
        <v>400821997</v>
      </c>
      <c r="D66" s="53">
        <v>1</v>
      </c>
      <c r="E66" s="53">
        <v>1</v>
      </c>
      <c r="F66" s="53">
        <v>1</v>
      </c>
      <c r="G66" s="53">
        <v>1</v>
      </c>
      <c r="H66" s="53">
        <v>1</v>
      </c>
      <c r="I66" s="54">
        <v>1</v>
      </c>
    </row>
    <row r="67" spans="1:9" x14ac:dyDescent="0.25">
      <c r="A67" s="47">
        <v>1</v>
      </c>
      <c r="B67" s="57" t="s">
        <v>47</v>
      </c>
      <c r="C67" s="58" t="s">
        <v>51</v>
      </c>
      <c r="D67" s="53">
        <v>1</v>
      </c>
      <c r="E67" s="53">
        <v>1</v>
      </c>
      <c r="F67" s="53">
        <v>1</v>
      </c>
      <c r="G67" s="59" t="s">
        <v>49</v>
      </c>
      <c r="H67" s="60">
        <v>1</v>
      </c>
      <c r="I67" s="54">
        <v>1</v>
      </c>
    </row>
    <row r="68" spans="1:9" x14ac:dyDescent="0.25">
      <c r="A68" s="62">
        <v>1</v>
      </c>
      <c r="B68" s="60">
        <v>1</v>
      </c>
      <c r="C68" s="60">
        <v>1</v>
      </c>
      <c r="D68" s="60">
        <v>1</v>
      </c>
      <c r="E68" s="60">
        <v>1</v>
      </c>
      <c r="F68" s="60">
        <v>1</v>
      </c>
      <c r="G68" s="60">
        <v>1</v>
      </c>
      <c r="H68" s="60">
        <v>1</v>
      </c>
      <c r="I68" s="63">
        <v>1</v>
      </c>
    </row>
  </sheetData>
  <mergeCells count="6">
    <mergeCell ref="A1:I1"/>
    <mergeCell ref="A2:I2"/>
    <mergeCell ref="A3:I3"/>
    <mergeCell ref="A4:I4"/>
    <mergeCell ref="A54:B54"/>
    <mergeCell ref="C54:H54"/>
  </mergeCells>
  <pageMargins left="0.7" right="0.7" top="0.13" bottom="0.13" header="0.13" footer="0.13"/>
  <pageSetup paperSize="9" orientation="portrait" horizontalDpi="4294967295" verticalDpi="4294967295" scale="55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FORMATO PLANILLA INDIVIDUAL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Cáceres</dc:creator>
  <cp:lastModifiedBy>Daniela Cáceres</cp:lastModifiedBy>
  <dcterms:created xsi:type="dcterms:W3CDTF">2026-08-09T19:48:50Z</dcterms:created>
  <dcterms:modified xsi:type="dcterms:W3CDTF">2026-08-09T19:51:21Z</dcterms:modified>
</cp:coreProperties>
</file>